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11606/Library/Application Support/Claude/local-agent-mode-sessions/b735174c-8c7b-4cb2-8b83-16120ae62ce3/fb6b5174-dbe6-4644-a92b-eb7112610caa/local_42612e70-4320-49b9-84f1-ca7504345c97/outputs/"/>
    </mc:Choice>
  </mc:AlternateContent>
  <xr:revisionPtr revIDLastSave="0" documentId="13_ncr:1_{125BF2B7-E399-6B4C-BDC2-FF9050DFE88D}" xr6:coauthVersionLast="45" xr6:coauthVersionMax="45" xr10:uidLastSave="{00000000-0000-0000-0000-000000000000}"/>
  <bookViews>
    <workbookView xWindow="4800" yWindow="1100" windowWidth="25100" windowHeight="15020" tabRatio="500" xr2:uid="{00000000-000D-0000-FFFF-FFFF00000000}"/>
  </bookViews>
  <sheets>
    <sheet name="견적_초안(v1)" sheetId="1" r:id="rId1"/>
    <sheet name="견적_최종(v2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6" i="2"/>
  <c r="F11" i="2" s="1"/>
  <c r="F10" i="1"/>
  <c r="F9" i="1"/>
  <c r="F8" i="1"/>
  <c r="F7" i="1"/>
  <c r="F6" i="1"/>
  <c r="F11" i="1" s="1"/>
  <c r="F12" i="1" l="1"/>
  <c r="F13" i="1" s="1"/>
  <c r="F12" i="2"/>
  <c r="F13" i="2" s="1"/>
</calcChain>
</file>

<file path=xl/sharedStrings.xml><?xml version="1.0" encoding="utf-8"?>
<sst xmlns="http://schemas.openxmlformats.org/spreadsheetml/2006/main" count="58" uniqueCount="32">
  <si>
    <r>
      <rPr>
        <b/>
        <sz val="14"/>
        <rFont val="Noto Sans CJK SC"/>
        <family val="2"/>
      </rPr>
      <t xml:space="preserve">견 적 서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초안 </t>
    </r>
    <r>
      <rPr>
        <b/>
        <sz val="14"/>
        <rFont val="Arial"/>
        <family val="2"/>
      </rPr>
      <t>v1)</t>
    </r>
  </si>
  <si>
    <r>
      <rPr>
        <i/>
        <sz val="11"/>
        <color rgb="FFC00000"/>
        <rFont val="Noto Sans CJK SC"/>
        <family val="2"/>
      </rPr>
      <t xml:space="preserve">※ 내부 검토용 초안 </t>
    </r>
    <r>
      <rPr>
        <i/>
        <sz val="11"/>
        <color rgb="FFC00000"/>
        <rFont val="Arial"/>
        <family val="2"/>
      </rPr>
      <t xml:space="preserve">- </t>
    </r>
    <r>
      <rPr>
        <i/>
        <sz val="11"/>
        <color rgb="FFC00000"/>
        <rFont val="Noto Sans CJK SC"/>
        <family val="2"/>
      </rPr>
      <t xml:space="preserve">최종본 아님 </t>
    </r>
    <r>
      <rPr>
        <i/>
        <sz val="11"/>
        <color rgb="FFC00000"/>
        <rFont val="Arial"/>
        <family val="2"/>
      </rPr>
      <t>(2026-07-20)</t>
    </r>
  </si>
  <si>
    <r>
      <rPr>
        <sz val="9"/>
        <color rgb="FF666666"/>
        <rFont val="Noto Sans CJK SC"/>
        <family val="2"/>
      </rPr>
      <t>공급자</t>
    </r>
    <r>
      <rPr>
        <sz val="9"/>
        <color rgb="FF666666"/>
        <rFont val="Arial"/>
        <family val="2"/>
      </rPr>
      <t>: (</t>
    </r>
    <r>
      <rPr>
        <sz val="9"/>
        <color rgb="FF666666"/>
        <rFont val="Noto Sans CJK SC"/>
        <family val="2"/>
      </rPr>
      <t>주</t>
    </r>
    <r>
      <rPr>
        <sz val="9"/>
        <color rgb="FF666666"/>
        <rFont val="Arial"/>
        <family val="2"/>
      </rPr>
      <t>)</t>
    </r>
    <r>
      <rPr>
        <sz val="9"/>
        <color rgb="FF666666"/>
        <rFont val="Noto Sans CJK SC"/>
        <family val="2"/>
      </rPr>
      <t xml:space="preserve">테크노브릿지    </t>
    </r>
    <r>
      <rPr>
        <sz val="9"/>
        <color rgb="FF666666"/>
        <rFont val="Arial"/>
        <family val="2"/>
      </rPr>
      <t xml:space="preserve">/    </t>
    </r>
    <r>
      <rPr>
        <sz val="9"/>
        <color rgb="FF666666"/>
        <rFont val="Noto Sans CJK SC"/>
        <family val="2"/>
      </rPr>
      <t>수신</t>
    </r>
    <r>
      <rPr>
        <sz val="9"/>
        <color rgb="FF666666"/>
        <rFont val="Arial"/>
        <family val="2"/>
      </rPr>
      <t xml:space="preserve">: </t>
    </r>
    <r>
      <rPr>
        <sz val="9"/>
        <color rgb="FF666666"/>
        <rFont val="Noto Sans CJK SC"/>
        <family val="2"/>
      </rPr>
      <t>한국스마트물류진흥원</t>
    </r>
  </si>
  <si>
    <t>No</t>
  </si>
  <si>
    <t>품목</t>
  </si>
  <si>
    <r>
      <rPr>
        <b/>
        <sz val="11"/>
        <color rgb="FFFFFFFF"/>
        <rFont val="Noto Sans CJK SC"/>
        <family val="2"/>
      </rPr>
      <t>규격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내용</t>
    </r>
  </si>
  <si>
    <r>
      <rPr>
        <b/>
        <sz val="11"/>
        <color rgb="FFFFFFFF"/>
        <rFont val="Noto Sans CJK SC"/>
        <family val="2"/>
      </rPr>
      <t>단가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원</t>
    </r>
    <r>
      <rPr>
        <b/>
        <sz val="11"/>
        <color rgb="FFFFFFFF"/>
        <rFont val="Arial"/>
        <family val="2"/>
      </rPr>
      <t>)</t>
    </r>
  </si>
  <si>
    <t>수량</t>
  </si>
  <si>
    <r>
      <rPr>
        <b/>
        <sz val="11"/>
        <color rgb="FFFFFFFF"/>
        <rFont val="Noto Sans CJK SC"/>
        <family val="2"/>
      </rPr>
      <t>금액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원</t>
    </r>
    <r>
      <rPr>
        <b/>
        <sz val="11"/>
        <color rgb="FFFFFFFF"/>
        <rFont val="Arial"/>
        <family val="2"/>
      </rPr>
      <t>)</t>
    </r>
  </si>
  <si>
    <r>
      <rPr>
        <sz val="11"/>
        <rFont val="Noto Sans CJK SC"/>
        <family val="2"/>
      </rPr>
      <t>요구사항 분석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설계</t>
    </r>
  </si>
  <si>
    <r>
      <rPr>
        <sz val="11"/>
        <rFont val="Arial"/>
        <family val="2"/>
      </rPr>
      <t xml:space="preserve">IoT </t>
    </r>
    <r>
      <rPr>
        <sz val="11"/>
        <rFont val="Noto Sans CJK SC"/>
        <family val="2"/>
      </rPr>
      <t>데이터 수집 설계 포함</t>
    </r>
  </si>
  <si>
    <t>플랫폼 개발</t>
  </si>
  <si>
    <r>
      <rPr>
        <sz val="11"/>
        <rFont val="Noto Sans CJK SC"/>
        <family val="2"/>
      </rPr>
      <t xml:space="preserve">관제 대시보드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>이상알림</t>
    </r>
  </si>
  <si>
    <r>
      <rPr>
        <sz val="11"/>
        <rFont val="Arial"/>
        <family val="2"/>
      </rPr>
      <t xml:space="preserve">IoT </t>
    </r>
    <r>
      <rPr>
        <sz val="11"/>
        <rFont val="Noto Sans CJK SC"/>
        <family val="2"/>
      </rPr>
      <t>연동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센서 인터페이스</t>
    </r>
  </si>
  <si>
    <r>
      <rPr>
        <sz val="11"/>
        <rFont val="Noto Sans CJK SC"/>
        <family val="2"/>
      </rPr>
      <t>온습도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위치 센서</t>
    </r>
  </si>
  <si>
    <r>
      <rPr>
        <sz val="11"/>
        <rFont val="Arial"/>
        <family val="2"/>
      </rPr>
      <t xml:space="preserve">WMS </t>
    </r>
    <r>
      <rPr>
        <sz val="11"/>
        <rFont val="Noto Sans CJK SC"/>
        <family val="2"/>
      </rPr>
      <t>연계 개발</t>
    </r>
  </si>
  <si>
    <t>기존 시스템 인터페이스</t>
  </si>
  <si>
    <t>클라우드 인프라 구축</t>
  </si>
  <si>
    <r>
      <rPr>
        <sz val="11"/>
        <rFont val="Arial"/>
        <family val="2"/>
      </rPr>
      <t>1</t>
    </r>
    <r>
      <rPr>
        <sz val="11"/>
        <rFont val="Noto Sans CJK SC"/>
        <family val="2"/>
      </rPr>
      <t>년 운영 포함</t>
    </r>
  </si>
  <si>
    <r>
      <rPr>
        <b/>
        <sz val="11"/>
        <rFont val="Noto Sans CJK SC"/>
        <family val="2"/>
      </rPr>
      <t xml:space="preserve">소계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부가세 별도</t>
    </r>
    <r>
      <rPr>
        <b/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</si>
  <si>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부가세 </t>
    </r>
    <r>
      <rPr>
        <sz val="11"/>
        <rFont val="Arial"/>
        <family val="2"/>
      </rPr>
      <t>(10%)</t>
    </r>
  </si>
  <si>
    <r>
      <rPr>
        <b/>
        <sz val="11"/>
        <rFont val="Noto Sans CJK SC"/>
        <family val="2"/>
      </rPr>
      <t xml:space="preserve">합계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부가세 포함</t>
    </r>
    <r>
      <rPr>
        <b/>
        <sz val="11"/>
        <rFont val="Arial"/>
        <family val="2"/>
      </rPr>
      <t>)</t>
    </r>
  </si>
  <si>
    <r>
      <rPr>
        <b/>
        <sz val="9"/>
        <color rgb="FF333333"/>
        <rFont val="Arial"/>
        <family val="2"/>
      </rPr>
      <t xml:space="preserve">[ </t>
    </r>
    <r>
      <rPr>
        <b/>
        <sz val="9"/>
        <color rgb="FF333333"/>
        <rFont val="Noto Sans CJK SC"/>
        <family val="2"/>
      </rPr>
      <t xml:space="preserve">산출 근거 및 비고 </t>
    </r>
    <r>
      <rPr>
        <b/>
        <sz val="9"/>
        <color rgb="FF333333"/>
        <rFont val="Arial"/>
        <family val="2"/>
      </rPr>
      <t>]</t>
    </r>
  </si>
  <si>
    <r>
      <rPr>
        <sz val="9"/>
        <color rgb="FF555555"/>
        <rFont val="Arial"/>
        <family val="2"/>
      </rPr>
      <t>[</t>
    </r>
    <r>
      <rPr>
        <sz val="9"/>
        <color rgb="FF555555"/>
        <rFont val="Noto Sans CJK SC"/>
        <family val="2"/>
      </rPr>
      <t>초안</t>
    </r>
    <r>
      <rPr>
        <sz val="9"/>
        <color rgb="FF555555"/>
        <rFont val="Arial"/>
        <family val="2"/>
      </rPr>
      <t xml:space="preserve">] </t>
    </r>
    <r>
      <rPr>
        <sz val="9"/>
        <color rgb="FF555555"/>
        <rFont val="Noto Sans CJK SC"/>
        <family val="2"/>
      </rPr>
      <t xml:space="preserve">내부 검토용으로 작성된 </t>
    </r>
    <r>
      <rPr>
        <sz val="9"/>
        <color rgb="FF555555"/>
        <rFont val="Arial"/>
        <family val="2"/>
      </rPr>
      <t>1</t>
    </r>
    <r>
      <rPr>
        <sz val="9"/>
        <color rgb="FF555555"/>
        <rFont val="Noto Sans CJK SC"/>
        <family val="2"/>
      </rPr>
      <t>차 견적이며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>최종 제출본이 아닙니다</t>
    </r>
    <r>
      <rPr>
        <sz val="9"/>
        <color rgb="FF555555"/>
        <rFont val="Arial"/>
        <family val="2"/>
      </rPr>
      <t>.</t>
    </r>
  </si>
  <si>
    <r>
      <rPr>
        <sz val="9"/>
        <color rgb="FF555555"/>
        <rFont val="Noto Sans CJK SC"/>
        <family val="2"/>
      </rPr>
      <t>본 견적은 스마트 물류 관제 플랫폼 구축 사업의 개발 및 구축 비용을 항목별로 산정한 것입니다</t>
    </r>
    <r>
      <rPr>
        <sz val="9"/>
        <color rgb="FF555555"/>
        <rFont val="Arial"/>
        <family val="2"/>
      </rPr>
      <t>.</t>
    </r>
  </si>
  <si>
    <r>
      <rPr>
        <sz val="9"/>
        <color rgb="FF555555"/>
        <rFont val="Noto Sans CJK SC"/>
        <family val="2"/>
      </rPr>
      <t>인건비는 소프트웨어기술자 노임단가 기준을 적용하였으며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 xml:space="preserve">투입 </t>
    </r>
    <r>
      <rPr>
        <sz val="9"/>
        <color rgb="FF555555"/>
        <rFont val="Arial"/>
        <family val="2"/>
      </rPr>
      <t>M/M(</t>
    </r>
    <r>
      <rPr>
        <sz val="9"/>
        <color rgb="FF555555"/>
        <rFont val="Noto Sans CJK SC"/>
        <family val="2"/>
      </rPr>
      <t>맨먼스</t>
    </r>
    <r>
      <rPr>
        <sz val="9"/>
        <color rgb="FF555555"/>
        <rFont val="Arial"/>
        <family val="2"/>
      </rPr>
      <t>)</t>
    </r>
    <r>
      <rPr>
        <sz val="9"/>
        <color rgb="FF555555"/>
        <rFont val="Noto Sans CJK SC"/>
        <family val="2"/>
      </rPr>
      <t>를 기준으로 산출하였습니다</t>
    </r>
    <r>
      <rPr>
        <sz val="9"/>
        <color rgb="FF555555"/>
        <rFont val="Arial"/>
        <family val="2"/>
      </rPr>
      <t>.</t>
    </r>
  </si>
  <si>
    <r>
      <rPr>
        <sz val="9"/>
        <color rgb="FF555555"/>
        <rFont val="Noto Sans CJK SC"/>
        <family val="2"/>
      </rPr>
      <t xml:space="preserve">클라우드 인프라 항목은 구축비와 계약일로부터 </t>
    </r>
    <r>
      <rPr>
        <sz val="9"/>
        <color rgb="FF555555"/>
        <rFont val="Arial"/>
        <family val="2"/>
      </rPr>
      <t>1</t>
    </r>
    <r>
      <rPr>
        <sz val="9"/>
        <color rgb="FF555555"/>
        <rFont val="Noto Sans CJK SC"/>
        <family val="2"/>
      </rPr>
      <t>년간의 운영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유지보수 비용을 포함합니다</t>
    </r>
    <r>
      <rPr>
        <sz val="9"/>
        <color rgb="FF555555"/>
        <rFont val="Arial"/>
        <family val="2"/>
      </rPr>
      <t>.</t>
    </r>
  </si>
  <si>
    <r>
      <rPr>
        <sz val="9"/>
        <color rgb="FF555555"/>
        <rFont val="Noto Sans CJK SC"/>
        <family val="2"/>
      </rPr>
      <t xml:space="preserve">본 견적의 유효기간은 견적일로부터 </t>
    </r>
    <r>
      <rPr>
        <sz val="9"/>
        <color rgb="FF555555"/>
        <rFont val="Arial"/>
        <family val="2"/>
      </rPr>
      <t>30</t>
    </r>
    <r>
      <rPr>
        <sz val="9"/>
        <color rgb="FF555555"/>
        <rFont val="Noto Sans CJK SC"/>
        <family val="2"/>
      </rPr>
      <t>일이며</t>
    </r>
    <r>
      <rPr>
        <sz val="9"/>
        <color rgb="FF555555"/>
        <rFont val="Arial"/>
        <family val="2"/>
      </rPr>
      <t xml:space="preserve">, </t>
    </r>
    <r>
      <rPr>
        <sz val="9"/>
        <color rgb="FF555555"/>
        <rFont val="Noto Sans CJK SC"/>
        <family val="2"/>
      </rPr>
      <t>과업 범위 변경 시 금액은 협의하여 조정될 수 있습니다</t>
    </r>
    <r>
      <rPr>
        <sz val="9"/>
        <color rgb="FF555555"/>
        <rFont val="Arial"/>
        <family val="2"/>
      </rPr>
      <t>.</t>
    </r>
  </si>
  <si>
    <r>
      <rPr>
        <sz val="9"/>
        <color rgb="FF555555"/>
        <rFont val="Noto Sans CJK SC"/>
        <family val="2"/>
      </rPr>
      <t>하드웨어 센서의 물리적 설치 및 통신 회선 공사 비용은 본 견적에서 제외됩니다</t>
    </r>
    <r>
      <rPr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</si>
  <si>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견 적 서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최종본 </t>
    </r>
    <r>
      <rPr>
        <b/>
        <sz val="14"/>
        <rFont val="Arial"/>
        <family val="2"/>
      </rPr>
      <t>v2)</t>
    </r>
  </si>
  <si>
    <r>
      <rPr>
        <i/>
        <sz val="11"/>
        <color rgb="FF008000"/>
        <rFont val="Noto Sans CJK SC"/>
        <family val="2"/>
      </rPr>
      <t xml:space="preserve">★ 최종 제출본 </t>
    </r>
    <r>
      <rPr>
        <i/>
        <sz val="11"/>
        <color rgb="FF008000"/>
        <rFont val="Arial"/>
        <family val="2"/>
      </rPr>
      <t xml:space="preserve">(2026-08-10) - </t>
    </r>
    <r>
      <rPr>
        <i/>
        <sz val="11"/>
        <color rgb="FF008000"/>
        <rFont val="Noto Sans CJK SC"/>
        <family val="2"/>
      </rPr>
      <t>본 금액 기준으로 제안</t>
    </r>
  </si>
  <si>
    <r>
      <rPr>
        <sz val="9"/>
        <color rgb="FF555555"/>
        <rFont val="Arial"/>
        <family val="2"/>
      </rPr>
      <t>[</t>
    </r>
    <r>
      <rPr>
        <sz val="9"/>
        <color rgb="FF555555"/>
        <rFont val="Noto Sans CJK SC"/>
        <family val="2"/>
      </rPr>
      <t>최종</t>
    </r>
    <r>
      <rPr>
        <sz val="9"/>
        <color rgb="FF555555"/>
        <rFont val="Arial"/>
        <family val="2"/>
      </rPr>
      <t xml:space="preserve">] </t>
    </r>
    <r>
      <rPr>
        <sz val="9"/>
        <color rgb="FF555555"/>
        <rFont val="Noto Sans CJK SC"/>
        <family val="2"/>
      </rPr>
      <t>발주처 제출용 확정 견적입니다</t>
    </r>
    <r>
      <rPr>
        <sz val="9"/>
        <color rgb="FF555555"/>
        <rFont val="Arial"/>
        <family val="2"/>
      </rPr>
      <t xml:space="preserve">. </t>
    </r>
    <r>
      <rPr>
        <sz val="9"/>
        <color rgb="FF555555"/>
        <rFont val="Noto Sans CJK SC"/>
        <family val="2"/>
      </rPr>
      <t>제안 금액은 본 시트를 기준으로 합니다</t>
    </r>
    <r>
      <rPr>
        <sz val="9"/>
        <color rgb="FF555555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</si>
</sst>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i/>
      <sz val="11"/>
      <color rgb="FFC00000"/>
      <name val="Noto Sans CJK SC"/>
      <family val="2"/>
    </font>
    <font>
      <i/>
      <sz val="11"/>
      <color rgb="FFC00000"/>
      <name val="Arial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b/>
      <sz val="9"/>
      <color rgb="FF333333"/>
      <name val="Arial"/>
      <family val="2"/>
    </font>
    <font>
      <b/>
      <sz val="9"/>
      <color rgb="FF333333"/>
      <name val="Noto Sans CJK SC"/>
      <family val="2"/>
    </font>
    <font>
      <sz val="9"/>
      <color rgb="FF555555"/>
      <name val="Arial"/>
      <family val="2"/>
    </font>
    <font>
      <sz val="9"/>
      <color rgb="FF555555"/>
      <name val="Noto Sans CJK SC"/>
      <family val="2"/>
    </font>
    <font>
      <i/>
      <sz val="11"/>
      <color rgb="FF008000"/>
      <name val="Noto Sans CJK SC"/>
      <family val="2"/>
    </font>
    <font>
      <i/>
      <sz val="11"/>
      <color rgb="FF008000"/>
      <name val="Arial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3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0" fillId="0" borderId="1" xfId="0" applyBorder="1"/>
    <xf numFmtId="0" fontId="11" fillId="0" borderId="1" xfId="0" applyFont="1" applyBorder="1"/>
    <xf numFmtId="3" fontId="12" fillId="0" borderId="1" xfId="0" applyNumberFormat="1" applyFont="1" applyBorder="1"/>
    <xf numFmtId="0" fontId="11" fillId="3" borderId="1" xfId="0" applyFont="1" applyFill="1" applyBorder="1"/>
    <xf numFmtId="3" fontId="12" fillId="3" borderId="1" xfId="0" applyNumberFormat="1" applyFont="1" applyFill="1" applyBorder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/>
  </sheetViews>
  <sheetFormatPr baseColWidth="10" defaultColWidth="8.6640625" defaultRowHeight="15"/>
  <cols>
    <col min="1" max="1" width="6" customWidth="1"/>
    <col min="2" max="2" width="26" customWidth="1"/>
    <col min="3" max="3" width="34" customWidth="1"/>
    <col min="4" max="4" width="16" customWidth="1"/>
    <col min="5" max="5" width="8" customWidth="1"/>
    <col min="6" max="6" width="18" customWidth="1"/>
  </cols>
  <sheetData>
    <row r="1" spans="1:6" ht="18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6">
        <v>1</v>
      </c>
      <c r="B6" s="7" t="s">
        <v>9</v>
      </c>
      <c r="C6" s="6" t="s">
        <v>10</v>
      </c>
      <c r="D6" s="8">
        <v>90000000</v>
      </c>
      <c r="E6" s="9">
        <v>1</v>
      </c>
      <c r="F6" s="8">
        <f>D6*E6</f>
        <v>90000000</v>
      </c>
    </row>
    <row r="7" spans="1:6">
      <c r="A7" s="6">
        <v>2</v>
      </c>
      <c r="B7" s="7" t="s">
        <v>11</v>
      </c>
      <c r="C7" s="7" t="s">
        <v>12</v>
      </c>
      <c r="D7" s="8">
        <v>250000000</v>
      </c>
      <c r="E7" s="9">
        <v>1</v>
      </c>
      <c r="F7" s="8">
        <f>D7*E7</f>
        <v>250000000</v>
      </c>
    </row>
    <row r="8" spans="1:6">
      <c r="A8" s="6">
        <v>3</v>
      </c>
      <c r="B8" s="6" t="s">
        <v>13</v>
      </c>
      <c r="C8" s="7" t="s">
        <v>14</v>
      </c>
      <c r="D8" s="8">
        <v>80000000</v>
      </c>
      <c r="E8" s="9">
        <v>1</v>
      </c>
      <c r="F8" s="8">
        <f>D8*E8</f>
        <v>80000000</v>
      </c>
    </row>
    <row r="9" spans="1:6">
      <c r="A9" s="6">
        <v>4</v>
      </c>
      <c r="B9" s="6" t="s">
        <v>15</v>
      </c>
      <c r="C9" s="7" t="s">
        <v>16</v>
      </c>
      <c r="D9" s="8">
        <v>60000000</v>
      </c>
      <c r="E9" s="9">
        <v>1</v>
      </c>
      <c r="F9" s="8">
        <f>D9*E9</f>
        <v>60000000</v>
      </c>
    </row>
    <row r="10" spans="1:6">
      <c r="A10" s="6">
        <v>5</v>
      </c>
      <c r="B10" s="7" t="s">
        <v>17</v>
      </c>
      <c r="C10" s="6" t="s">
        <v>18</v>
      </c>
      <c r="D10" s="8">
        <v>40000000</v>
      </c>
      <c r="E10" s="9">
        <v>1</v>
      </c>
      <c r="F10" s="8">
        <f>D10*E10</f>
        <v>40000000</v>
      </c>
    </row>
    <row r="11" spans="1:6">
      <c r="A11" s="10"/>
      <c r="B11" s="11" t="s">
        <v>19</v>
      </c>
      <c r="C11" s="10"/>
      <c r="D11" s="10"/>
      <c r="E11" s="10"/>
      <c r="F11" s="12">
        <f>SUM(F6:F10)</f>
        <v>520000000</v>
      </c>
    </row>
    <row r="12" spans="1:6">
      <c r="A12" s="10"/>
      <c r="B12" s="7" t="s">
        <v>20</v>
      </c>
      <c r="C12" s="10"/>
      <c r="D12" s="10"/>
      <c r="E12" s="10"/>
      <c r="F12" s="8">
        <f>ROUND(F11*0.1,0)</f>
        <v>52000000</v>
      </c>
    </row>
    <row r="13" spans="1:6">
      <c r="A13" s="10"/>
      <c r="B13" s="13" t="s">
        <v>21</v>
      </c>
      <c r="C13" s="10"/>
      <c r="D13" s="10"/>
      <c r="E13" s="10"/>
      <c r="F13" s="14">
        <f>F11+F12</f>
        <v>572000000</v>
      </c>
    </row>
    <row r="15" spans="1:6">
      <c r="A15" s="15" t="s">
        <v>22</v>
      </c>
    </row>
    <row r="16" spans="1:6">
      <c r="A16" s="16" t="s">
        <v>23</v>
      </c>
    </row>
    <row r="17" spans="1:1">
      <c r="A17" s="17" t="s">
        <v>24</v>
      </c>
    </row>
    <row r="18" spans="1:1">
      <c r="A18" s="17" t="s">
        <v>25</v>
      </c>
    </row>
    <row r="19" spans="1:1">
      <c r="A19" s="17" t="s">
        <v>26</v>
      </c>
    </row>
    <row r="20" spans="1:1">
      <c r="A20" s="17" t="s">
        <v>27</v>
      </c>
    </row>
    <row r="21" spans="1:1">
      <c r="A21" s="17" t="s">
        <v>28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/>
  </sheetViews>
  <sheetFormatPr baseColWidth="10" defaultColWidth="8.6640625" defaultRowHeight="15"/>
  <cols>
    <col min="1" max="1" width="6" customWidth="1"/>
    <col min="2" max="2" width="26" customWidth="1"/>
    <col min="3" max="3" width="34" customWidth="1"/>
    <col min="4" max="4" width="16" customWidth="1"/>
    <col min="5" max="5" width="8" customWidth="1"/>
    <col min="6" max="6" width="18" customWidth="1"/>
  </cols>
  <sheetData>
    <row r="1" spans="1:6" ht="18">
      <c r="A1" s="1" t="s">
        <v>29</v>
      </c>
    </row>
    <row r="2" spans="1:6">
      <c r="A2" s="18" t="s">
        <v>30</v>
      </c>
    </row>
    <row r="3" spans="1:6">
      <c r="A3" s="3" t="s">
        <v>2</v>
      </c>
    </row>
    <row r="5" spans="1:6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6">
        <v>1</v>
      </c>
      <c r="B6" s="7" t="s">
        <v>9</v>
      </c>
      <c r="C6" s="6" t="s">
        <v>10</v>
      </c>
      <c r="D6" s="8">
        <v>80000000</v>
      </c>
      <c r="E6" s="9">
        <v>1</v>
      </c>
      <c r="F6" s="8">
        <f>D6*E6</f>
        <v>80000000</v>
      </c>
    </row>
    <row r="7" spans="1:6">
      <c r="A7" s="6">
        <v>2</v>
      </c>
      <c r="B7" s="7" t="s">
        <v>11</v>
      </c>
      <c r="C7" s="7" t="s">
        <v>12</v>
      </c>
      <c r="D7" s="8">
        <v>240000000</v>
      </c>
      <c r="E7" s="9">
        <v>1</v>
      </c>
      <c r="F7" s="8">
        <f>D7*E7</f>
        <v>240000000</v>
      </c>
    </row>
    <row r="8" spans="1:6">
      <c r="A8" s="6">
        <v>3</v>
      </c>
      <c r="B8" s="6" t="s">
        <v>13</v>
      </c>
      <c r="C8" s="7" t="s">
        <v>14</v>
      </c>
      <c r="D8" s="8">
        <v>70000000</v>
      </c>
      <c r="E8" s="9">
        <v>1</v>
      </c>
      <c r="F8" s="8">
        <f>D8*E8</f>
        <v>70000000</v>
      </c>
    </row>
    <row r="9" spans="1:6">
      <c r="A9" s="6">
        <v>4</v>
      </c>
      <c r="B9" s="6" t="s">
        <v>15</v>
      </c>
      <c r="C9" s="7" t="s">
        <v>16</v>
      </c>
      <c r="D9" s="8">
        <v>55000000</v>
      </c>
      <c r="E9" s="9">
        <v>1</v>
      </c>
      <c r="F9" s="8">
        <f>D9*E9</f>
        <v>55000000</v>
      </c>
    </row>
    <row r="10" spans="1:6">
      <c r="A10" s="6">
        <v>5</v>
      </c>
      <c r="B10" s="7" t="s">
        <v>17</v>
      </c>
      <c r="C10" s="6" t="s">
        <v>18</v>
      </c>
      <c r="D10" s="8">
        <v>35000000</v>
      </c>
      <c r="E10" s="9">
        <v>1</v>
      </c>
      <c r="F10" s="8">
        <f>D10*E10</f>
        <v>35000000</v>
      </c>
    </row>
    <row r="11" spans="1:6">
      <c r="A11" s="10"/>
      <c r="B11" s="11" t="s">
        <v>19</v>
      </c>
      <c r="C11" s="10"/>
      <c r="D11" s="10"/>
      <c r="E11" s="10"/>
      <c r="F11" s="12">
        <f>SUM(F6:F10)</f>
        <v>480000000</v>
      </c>
    </row>
    <row r="12" spans="1:6">
      <c r="A12" s="10"/>
      <c r="B12" s="7" t="s">
        <v>20</v>
      </c>
      <c r="C12" s="10"/>
      <c r="D12" s="10"/>
      <c r="E12" s="10"/>
      <c r="F12" s="8">
        <f>ROUND(F11*0.1,0)</f>
        <v>48000000</v>
      </c>
    </row>
    <row r="13" spans="1:6">
      <c r="A13" s="10"/>
      <c r="B13" s="13" t="s">
        <v>21</v>
      </c>
      <c r="C13" s="10"/>
      <c r="D13" s="10"/>
      <c r="E13" s="10"/>
      <c r="F13" s="14">
        <f>F11+F12</f>
        <v>528000000</v>
      </c>
    </row>
    <row r="15" spans="1:6">
      <c r="A15" s="15" t="s">
        <v>22</v>
      </c>
    </row>
    <row r="16" spans="1:6">
      <c r="A16" s="16" t="s">
        <v>31</v>
      </c>
    </row>
    <row r="17" spans="1:1">
      <c r="A17" s="17" t="s">
        <v>24</v>
      </c>
    </row>
    <row r="18" spans="1:1">
      <c r="A18" s="17" t="s">
        <v>25</v>
      </c>
    </row>
    <row r="19" spans="1:1">
      <c r="A19" s="17" t="s">
        <v>26</v>
      </c>
    </row>
    <row r="20" spans="1:1">
      <c r="A20" s="17" t="s">
        <v>27</v>
      </c>
    </row>
    <row r="21" spans="1:1">
      <c r="A21" s="17" t="s">
        <v>28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견적_초안(v1)</vt:lpstr>
      <vt:lpstr>견적_최종(v2)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2026-07-16T08:29:53Z</dcterms:created>
  <dcterms:modified xsi:type="dcterms:W3CDTF">2026-07-16T08:38:32Z</dcterms:modified>
  <dc:language>en-US</dc:language>
</cp:coreProperties>
</file>